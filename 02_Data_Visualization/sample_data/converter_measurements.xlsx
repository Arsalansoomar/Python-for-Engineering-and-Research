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d5542e5e2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_Domain" sheetId="1" r:id="Rcae0a4adcb8c42c3"/>
    <x:sheet xmlns:r="http://schemas.openxmlformats.org/officeDocument/2006/relationships" name="Load_Sweep" sheetId="2" r:id="R5d6c70669d144da1"/>
    <x:sheet xmlns:r="http://schemas.openxmlformats.org/officeDocument/2006/relationships" name="Case_Comparison" sheetId="3" r:id="Rd81885d46304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0"/>
    <x:numFmt numFmtId="202" formatCode="0.00"/>
    <x:numFmt numFmtId="203" formatCode="0.0"/>
    <x:numFmt numFmtId="204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f39ab4c7e414f" /><Relationship Type="http://schemas.openxmlformats.org/officeDocument/2006/relationships/theme" Target="/xl/theme/theme1.xml" Id="Rb857d99cd7d24e17" /><Relationship Type="http://schemas.openxmlformats.org/officeDocument/2006/relationships/sharedStrings" Target="/xl/sharedStrings.xml" Id="R0cbaed0ddeb24fc9" /><Relationship Type="http://schemas.openxmlformats.org/officeDocument/2006/relationships/worksheet" Target="/xl/worksheets/sheet1.xml" Id="Rcae0a4adcb8c42c3" /><Relationship Type="http://schemas.openxmlformats.org/officeDocument/2006/relationships/worksheet" Target="/xl/worksheets/sheet2.xml" Id="R5d6c70669d144da1" /><Relationship Type="http://schemas.openxmlformats.org/officeDocument/2006/relationships/worksheet" Target="/xl/worksheets/sheet3.xml" Id="Rd81885d4630446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.25" hidden="0" customWidth="1"/>
    <x:col min="3" max="3" width="14.630000114440918" hidden="0" customWidth="1"/>
    <x:col min="4" max="4" width="13.380000114440918" hidden="0" customWidth="1"/>
    <x:col min="5" max="5" width="14.75" hidden="0" customWidth="1"/>
    <x:col min="6" max="6" width="13" hidden="0" customWidth="1"/>
    <x:col min="7" max="7" width="14.380000114440918" hidden="0" customWidth="1"/>
    <x:col min="8" max="8" width="14.380000114440918" hidden="0" customWidth="1"/>
    <x:col min="9" max="9" width="12.130000114440918" hidden="0" customWidth="1"/>
  </x:cols>
  <x:sheetData>
    <x:row r="1">
      <x:c r="A1" s="5" t="str">
        <x:v>Time_s</x:v>
      </x:c>
      <x:c r="B1" s="5" t="str">
        <x:v>Input_Voltage_V</x:v>
      </x:c>
      <x:c r="C1" s="5" t="str">
        <x:v>Output_Voltage_V</x:v>
      </x:c>
      <x:c r="D1" s="5" t="str">
        <x:v>Input_Current_A</x:v>
      </x:c>
      <x:c r="E1" s="5" t="str">
        <x:v>Output_Current_A</x:v>
      </x:c>
      <x:c r="F1" s="5" t="str">
        <x:v>Input_Power_W</x:v>
      </x:c>
      <x:c r="G1" s="5" t="str">
        <x:v>Output_Power_W</x:v>
      </x:c>
      <x:c r="H1" s="5" t="str">
        <x:v>Efficiency_percent</x:v>
      </x:c>
      <x:c r="I1" s="5" t="str">
        <x:v>Temperature_C</x:v>
      </x:c>
    </x:row>
    <x:row r="2">
      <x:c r="A2" s="10" t="n">
        <x:v>0</x:v>
      </x:c>
      <x:c r="B2" s="12" t="n">
        <x:v>48</x:v>
      </x:c>
      <x:c r="C2" s="12" t="n">
        <x:v>95.40016658335317</x:v>
      </x:c>
      <x:c r="D2" s="12" t="n">
        <x:v>4.738149010186369</x:v>
      </x:c>
      <x:c r="E2" s="12" t="n">
        <x:v>2.2088522631053458</x:v>
      </x:c>
      <x:c r="F2" s="12" t="n">
        <x:f>B2*D2</x:f>
        <x:v>227.4311524889457</x:v>
      </x:c>
      <x:c r="G2" s="12" t="n">
        <x:f>C2*E2</x:f>
        <x:v>210.72487385826662</x:v>
      </x:c>
      <x:c r="H2" s="14" t="n">
        <x:f>IF(F2=0,0,G2/F2*100)</x:f>
        <x:v>92.65435783627262</x:v>
      </x:c>
      <x:c r="I2" s="16" t="n">
        <x:v>55</x:v>
      </x:c>
    </x:row>
    <x:row r="3">
      <x:c r="A3" s="10" t="n">
        <x:v>0.001</x:v>
      </x:c>
      <x:c r="B3" s="12" t="n">
        <x:v>48.12360679774998</x:v>
      </x:c>
      <x:c r="C3" s="12" t="n">
        <x:v>95.7125259750988</x:v>
      </x:c>
      <x:c r="D3" s="12" t="n">
        <x:v>4.816028814190835</x:v>
      </x:c>
      <x:c r="E3" s="12" t="n">
        <x:v>2.245700032574173</x:v>
      </x:c>
      <x:c r="F3" s="12" t="n">
        <x:f>B3*D3</x:f>
        <x:v>231.76467698075385</x:v>
      </x:c>
      <x:c r="G3" s="12" t="n">
        <x:f>C3*E3</x:f>
        <x:v>214.94162270003574</x:v>
      </x:c>
      <x:c r="H3" s="14" t="n">
        <x:f>IF(F3=0,0,G3/F3*100)</x:f>
        <x:v>92.74132085187635</x:v>
      </x:c>
      <x:c r="I3" s="16" t="n">
        <x:v>55.49418577929397</x:v>
      </x:c>
    </x:row>
    <x:row r="4">
      <x:c r="A4" s="10" t="n">
        <x:v>0.002</x:v>
      </x:c>
      <x:c r="B4" s="12" t="n">
        <x:v>48.23511410091699</x:v>
      </x:c>
      <x:c r="C4" s="12" t="n">
        <x:v>96.0040818436462</x:v>
      </x:c>
      <x:c r="D4" s="12" t="n">
        <x:v>4.892339606182986</x:v>
      </x:c>
      <x:c r="E4" s="12" t="n">
        <x:v>2.282968712814275</x:v>
      </x:c>
      <x:c r="F4" s="12" t="n">
        <x:f>B4*D4</x:f>
        <x:v>235.9825591246716</x:v>
      </x:c>
      <x:c r="G4" s="12" t="n">
        <x:f>C4*E4</x:f>
        <x:v>219.17431515150528</x:v>
      </x:c>
      <x:c r="H4" s="14" t="n">
        <x:f>IF(F4=0,0,G4/F4*100)</x:f>
        <x:v>92.87733634404465</x:v>
      </x:c>
      <x:c r="I4" s="16" t="n">
        <x:v>55.987999850346455</x:v>
      </x:c>
    </x:row>
    <x:row r="5">
      <x:c r="A5" s="10" t="n">
        <x:v>0.003</x:v>
      </x:c>
      <x:c r="B5" s="12" t="n">
        <x:v>48.32360679774998</x:v>
      </x:c>
      <x:c r="C5" s="12" t="n">
        <x:v>96.2462946691928</x:v>
      </x:c>
      <x:c r="D5" s="12" t="n">
        <x:v>4.95961155415408</x:v>
      </x:c>
      <x:c r="E5" s="12" t="n">
        <x:v>2.317010185737587</x:v>
      </x:c>
      <x:c r="F5" s="12" t="n">
        <x:f>B5*D5</x:f>
        <x:v>239.66631861251943</x:v>
      </x:c>
      <x:c r="G5" s="12" t="n">
        <x:f>C5*E5</x:f>
        <x:v>223.00364508802093</x:v>
      </x:c>
      <x:c r="H5" s="14" t="n">
        <x:f>IF(F5=0,0,G5/F5*100)</x:f>
        <x:v>93.04755310593397</x:v>
      </x:c>
      <x:c r="I5" s="16" t="n">
        <x:v>56.48107197187859</x:v>
      </x:c>
    </x:row>
    <x:row r="6">
      <x:c r="A6" s="10" t="n">
        <x:v>0.004</x:v>
      </x:c>
      <x:c r="B6" s="12" t="n">
        <x:v>48.38042260651806</x:v>
      </x:c>
      <x:c r="C6" s="12" t="n">
        <x:v>96.41545497277811</x:v>
      </x:c>
      <x:c r="D6" s="12" t="n">
        <x:v>5.011259611125483</x:v>
      </x:c>
      <x:c r="E6" s="12" t="n">
        <x:v>2.3444922347934853</x:v>
      </x:c>
      <x:c r="F6" s="12" t="n">
        <x:f>B6*D6</x:f>
        <x:v>242.4468577772262</x:v>
      </x:c>
      <x:c r="G6" s="12" t="n">
        <x:f>C6*E6</x:f>
        <x:v>226.0452854977592</x:v>
      </x:c>
      <x:c r="H6" s="14" t="n">
        <x:f>IF(F6=0,0,G6/F6*100)</x:f>
        <x:v>93.23498253190904</x:v>
      </x:c>
      <x:c r="I6" s="16" t="n">
        <x:v>56.97303483074728</x:v>
      </x:c>
    </x:row>
    <x:row r="7">
      <x:c r="A7" s="10" t="n">
        <x:v>0.005</x:v>
      </x:c>
      <x:c r="B7" s="12" t="n">
        <x:v>48.4</x:v>
      </x:c>
      <x:c r="C7" s="12" t="n">
        <x:v>96.49500416527803</x:v>
      </x:c>
      <x:c r="D7" s="12" t="n">
        <x:v>5.042228105427661</x:v>
      </x:c>
      <x:c r="E7" s="12" t="n">
        <x:v>2.3627247255416854</x:v>
      </x:c>
      <x:c r="F7" s="12" t="n">
        <x:f>B7*D7</x:f>
        <x:v>244.04384030269878</x:v>
      </x:c>
      <x:c r="G7" s="12" t="n">
        <x:f>C7*E7</x:f>
        <x:v>227.99113223255034</x:v>
      </x:c>
      <x:c r="H7" s="14" t="n">
        <x:f>IF(F7=0,0,G7/F7*100)</x:f>
        <x:v>93.42220313766677</x:v>
      </x:c>
      <x:c r="I7" s="16" t="n">
        <x:v>57.46352549156242</x:v>
      </x:c>
    </x:row>
    <x:row r="8">
      <x:c r="A8" s="10" t="n">
        <x:v>0.006</x:v>
      </x:c>
      <x:c r="B8" s="12" t="n">
        <x:v>48.38042260651806</x:v>
      </x:c>
      <x:c r="C8" s="12" t="n">
        <x:v>96.47715541747887</x:v>
      </x:c>
      <x:c r="D8" s="12" t="n">
        <x:v>5.04948562506813</x:v>
      </x:c>
      <x:c r="E8" s="12" t="n">
        <x:v>2.36992293475452</x:v>
      </x:c>
      <x:c r="F8" s="12" t="n">
        <x:f>B8*D8</x:f>
        <x:v>244.29624848633415</x:v>
      </x:c>
      <x:c r="G8" s="12" t="n">
        <x:f>C8*E8</x:f>
        <x:v>228.64342330375945</x:v>
      </x:c>
      <x:c r="H8" s="14" t="n">
        <x:f>IF(F8=0,0,G8/F8*100)</x:f>
        <x:v>93.59268704306349</x:v>
      </x:c>
      <x:c r="I8" s="16" t="n">
        <x:v>57.95218682902701</x:v>
      </x:c>
    </x:row>
    <x:row r="9">
      <x:c r="A9" s="10" t="n">
        <x:v>0.007</x:v>
      </x:c>
      <x:c r="B9" s="12" t="n">
        <x:v>48.32360679774998</x:v>
      </x:c>
      <x:c r="C9" s="12" t="n">
        <x:v>96.36365588917475</x:v>
      </x:c>
      <x:c r="D9" s="12" t="n">
        <x:v>5.032321753458368</x:v>
      </x:c>
      <x:c r="E9" s="12" t="n">
        <x:v>2.365382251561364</x:v>
      </x:c>
      <x:c r="F9" s="12" t="n">
        <x:f>B9*D9</x:f>
        <x:v>243.1799376938859</x:v>
      </x:c>
      <x:c r="G9" s="12" t="n">
        <x:f>C9*E9</x:f>
        <x:v>227.9368813358207</x:v>
      </x:c>
      <x:c r="H9" s="14" t="n">
        <x:f>IF(F9=0,0,G9/F9*100)</x:f>
        <x:v>93.73177882081164</x:v>
      </x:c>
      <x:c r="I9" s="16" t="n">
        <x:v>58.43866893734761</x:v>
      </x:c>
    </x:row>
    <x:row r="10">
      <x:c r="A10" s="10" t="n">
        <x:v>0.008</x:v>
      </x:c>
      <x:c r="B10" s="12" t="n">
        <x:v>48.23511410091699</x:v>
      </x:c>
      <x:c r="C10" s="12" t="n">
        <x:v>96.16561570499381</x:v>
      </x:c>
      <x:c r="D10" s="12" t="n">
        <x:v>4.992416609939265</x:v>
      </x:c>
      <x:c r="E10" s="12" t="n">
        <x:v>2.349547149669964</x:v>
      </x:c>
      <x:c r="F10" s="12" t="n">
        <x:f>B10*D10</x:f>
        <x:v>240.8097848197336</x:v>
      </x:c>
      <x:c r="G10" s="12" t="n">
        <x:f>C10*E10</x:f>
        <x:v>225.94564827592532</x:v>
      </x:c>
      <x:c r="H10" s="14" t="n">
        <x:f>IF(F10=0,0,G10/F10*100)</x:f>
        <x:v>93.82743664052715</x:v>
      </x:c>
      <x:c r="I10" s="16" t="n">
        <x:v>58.922630511152576</x:v>
      </x:c>
    </x:row>
    <x:row r="11">
      <x:c r="A11" s="10" t="n">
        <x:v>0.009000000000000001</x:v>
      </x:c>
      <x:c r="B11" s="12" t="n">
        <x:v>48.12360679774998</x:v>
      </x:c>
      <x:c r="C11" s="12" t="n">
        <x:v>95.90242041799074</x:v>
      </x:c>
      <x:c r="D11" s="12" t="n">
        <x:v>4.933676387993952</x:v>
      </x:c>
      <x:c r="E11" s="12" t="n">
        <x:v>2.3239676791830917</x:v>
      </x:c>
      <x:c r="F11" s="12" t="n">
        <x:f>B11*D11</x:f>
        <x:v>237.4263025631643</x:v>
      </x:c>
      <x:c r="G11" s="12" t="n">
        <x:f>C11*E11</x:f>
        <x:v>222.87412540683908</x:v>
      </x:c>
      <x:c r="H11" s="14" t="n">
        <x:f>IF(F11=0,0,G11/F11*100)</x:f>
        <x:v>93.87086561209712</x:v>
      </x:c>
      <x:c r="I11" s="16" t="n">
        <x:v>59.4037401924685</x:v>
      </x:c>
    </x:row>
    <x:row r="12">
      <x:c r="A12" s="10" t="n">
        <x:v>0.01</x:v>
      </x:c>
      <x:c r="B12" s="12" t="n">
        <x:v>48</x:v>
      </x:c>
      <x:c r="C12" s="12" t="n">
        <x:v>95.59983341664683</x:v>
      </x:c>
      <x:c r="D12" s="12" t="n">
        <x:v>4.861850989813631</x:v>
      </x:c>
      <x:c r="E12" s="12" t="n">
        <x:v>2.2911477368946542</x:v>
      </x:c>
      <x:c r="F12" s="12" t="n">
        <x:f>B12*D12</x:f>
        <x:v>233.36884751105427</x:v>
      </x:c>
      <x:c r="G12" s="12" t="n">
        <x:f>C12*E12</x:f>
        <x:v>219.03334198005632</x:v>
      </x:c>
      <x:c r="H12" s="14" t="n">
        <x:f>IF(F12=0,0,G12/F12*100)</x:f>
        <x:v>93.85714687976127</x:v>
      </x:c>
      <x:c r="I12" s="16" t="n">
        <x:v>59.88167787843871</x:v>
      </x:c>
    </x:row>
    <x:row r="13">
      <x:c r="A13" s="10" t="n">
        <x:v>0.011</x:v>
      </x:c>
      <x:c r="B13" s="12" t="n">
        <x:v>47.87639320225002</x:v>
      </x:c>
      <x:c r="C13" s="12" t="n">
        <x:v>95.2874740249012</x:v>
      </x:c>
      <x:c r="D13" s="12" t="n">
        <x:v>4.783971185809165</x:v>
      </x:c>
      <x:c r="E13" s="12" t="n">
        <x:v>2.254299967425827</x:v>
      </x:c>
      <x:c r="F13" s="12" t="n">
        <x:f>B13*D13</x:f>
        <x:v>229.03928556003387</x:v>
      </x:c>
      <x:c r="G13" s="12" t="n">
        <x:f>C13*E13</x:f>
        <x:v>214.8065495904241</x:v>
      </x:c>
      <x:c r="H13" s="14" t="n">
        <x:f>IF(F13=0,0,G13/F13*100)</x:f>
        <x:v>93.7858975001565</x:v>
      </x:c>
      <x:c r="I13" s="16" t="n">
        <x:v>60.35613598462303</x:v>
      </x:c>
    </x:row>
    <x:row r="14">
      <x:c r="A14" s="10" t="n">
        <x:v>0.012</x:v>
      </x:c>
      <x:c r="B14" s="12" t="n">
        <x:v>47.76488589908301</x:v>
      </x:c>
      <x:c r="C14" s="12" t="n">
        <x:v>94.9959181563538</x:v>
      </x:c>
      <x:c r="D14" s="12" t="n">
        <x:v>4.707660393817013</x:v>
      </x:c>
      <x:c r="E14" s="12" t="n">
        <x:v>2.217031287185725</x:v>
      </x:c>
      <x:c r="F14" s="12" t="n">
        <x:f>B14*D14</x:f>
        <x:v>224.86086156230184</x:v>
      </x:c>
      <x:c r="G14" s="12" t="n">
        <x:f>C14*E14</x:f>
        <x:v>210.60892270757083</x:v>
      </x:c>
      <x:c r="H14" s="14" t="n">
        <x:f>IF(F14=0,0,G14/F14*100)</x:f>
        <x:v>93.6618855074598</x:v>
      </x:c>
      <x:c r="I14" s="16" t="n">
        <x:v>60.82682065889303</x:v>
      </x:c>
    </x:row>
    <x:row r="15">
      <x:c r="A15" s="10" t="n">
        <x:v>0.013000000000000001</x:v>
      </x:c>
      <x:c r="B15" s="12" t="n">
        <x:v>47.67639320225002</x:v>
      </x:c>
      <x:c r="C15" s="12" t="n">
        <x:v>94.7537053308072</x:v>
      </x:c>
      <x:c r="D15" s="12" t="n">
        <x:v>4.640388445845919</x:v>
      </x:c>
      <x:c r="E15" s="12" t="n">
        <x:v>2.182989814262413</x:v>
      </x:c>
      <x:c r="F15" s="12" t="n">
        <x:f>B15*D15</x:f>
        <x:v>221.2369841553279</x:v>
      </x:c>
      <x:c r="G15" s="12" t="n">
        <x:f>C15*E15</x:f>
        <x:v>206.84637360077423</x:v>
      </x:c>
      <x:c r="H15" s="14" t="n">
        <x:f>IF(F15=0,0,G15/F15*100)</x:f>
        <x:v>93.49538658308134</x:v>
      </x:c>
      <x:c r="I15" s="16" t="n">
        <x:v>61.29345294113212</x:v>
      </x:c>
    </x:row>
    <x:row r="16">
      <x:c r="A16" s="10" t="n">
        <x:v>0.014</x:v>
      </x:c>
      <x:c r="B16" s="12" t="n">
        <x:v>47.61957739348194</x:v>
      </x:c>
      <x:c r="C16" s="12" t="n">
        <x:v>94.58454502722189</x:v>
      </x:c>
      <x:c r="D16" s="12" t="n">
        <x:v>4.588740388874517</x:v>
      </x:c>
      <x:c r="E16" s="12" t="n">
        <x:v>2.1555077652065147</x:v>
      </x:c>
      <x:c r="F16" s="12" t="n">
        <x:f>B16*D16</x:f>
        <x:v>218.51387808660647</x:v>
      </x:c>
      <x:c r="G16" s="12" t="n">
        <x:f>C16*E16</x:f>
        <x:v>203.87772127470203</x:v>
      </x:c>
      <x:c r="H16" s="14" t="n">
        <x:f>IF(F16=0,0,G16/F16*100)</x:f>
        <x:v>93.30195549131048</x:v>
      </x:c>
      <x:c r="I16" s="16" t="n">
        <x:v>61.75576986416368</x:v>
      </x:c>
    </x:row>
    <x:row r="17">
      <x:c r="A17" s="10" t="n">
        <x:v>0.015</x:v>
      </x:c>
      <x:c r="B17" s="12" t="n">
        <x:v>47.6</x:v>
      </x:c>
      <x:c r="C17" s="12" t="n">
        <x:v>94.50499583472197</x:v>
      </x:c>
      <x:c r="D17" s="12" t="n">
        <x:v>4.557771894572339</x:v>
      </x:c>
      <x:c r="E17" s="12" t="n">
        <x:v>2.1372752744583146</x:v>
      </x:c>
      <x:c r="F17" s="12" t="n">
        <x:f>B17*D17</x:f>
        <x:v>216.94994218164334</x:v>
      </x:c>
      <x:c r="G17" s="12" t="n">
        <x:f>C17*E17</x:f>
        <x:v>201.98319091033727</x:v>
      </x:c>
      <x:c r="H17" s="14" t="n">
        <x:f>IF(F17=0,0,G17/F17*100)</x:f>
        <x:v>93.10128819542389</x:v>
      </x:c>
      <x:c r="I17" s="16" t="n">
        <x:v>62.21352549156242</x:v>
      </x:c>
    </x:row>
    <x:row r="18">
      <x:c r="A18" s="10" t="n">
        <x:v>0.016</x:v>
      </x:c>
      <x:c r="B18" s="12" t="n">
        <x:v>47.61957739348194</x:v>
      </x:c>
      <x:c r="C18" s="12" t="n">
        <x:v>94.52284458252113</x:v>
      </x:c>
      <x:c r="D18" s="12" t="n">
        <x:v>4.550514374931869</x:v>
      </x:c>
      <x:c r="E18" s="12" t="n">
        <x:v>2.13007706524548</x:v>
      </x:c>
      <x:c r="F18" s="12" t="n">
        <x:f>B18*D18</x:f>
        <x:v>216.69357145722023</x:v>
      </x:c>
      <x:c r="G18" s="12" t="n">
        <x:f>C18*E18</x:f>
        <x:v>201.34094338699123</x:v>
      </x:c>
      <x:c r="H18" s="14" t="n">
        <x:f>IF(F18=0,0,G18/F18*100)</x:f>
        <x:v>92.91505144015778</x:v>
      </x:c>
      <x:c r="I18" s="16" t="n">
        <x:v>62.66649188825302</x:v>
      </x:c>
    </x:row>
    <x:row r="19">
      <x:c r="A19" s="10" t="n">
        <x:v>0.017</x:v>
      </x:c>
      <x:c r="B19" s="12" t="n">
        <x:v>47.67639320225002</x:v>
      </x:c>
      <x:c r="C19" s="12" t="n">
        <x:v>94.63634411082525</x:v>
      </x:c>
      <x:c r="D19" s="12" t="n">
        <x:v>4.5676782465416315</x:v>
      </x:c>
      <x:c r="E19" s="12" t="n">
        <x:v>2.1346177484386364</x:v>
      </x:c>
      <x:c r="F19" s="12" t="n">
        <x:f>B19*D19</x:f>
        <x:v>217.77042410348272</x:v>
      </x:c>
      <x:c r="G19" s="12" t="n">
        <x:f>C19*E19</x:f>
        <x:v>202.01241978631379</x:v>
      </x:c>
      <x:c r="H19" s="14" t="n">
        <x:f>IF(F19=0,0,G19/F19*100)</x:f>
        <x:v>92.76393735189639</x:v>
      </x:c>
      <x:c r="I19" s="16" t="n">
        <x:v>63.11446002006579</x:v>
      </x:c>
    </x:row>
    <x:row r="20">
      <x:c r="A20" s="10" t="n">
        <x:v>0.018000000000000002</x:v>
      </x:c>
      <x:c r="B20" s="12" t="n">
        <x:v>47.76488589908301</x:v>
      </x:c>
      <x:c r="C20" s="12" t="n">
        <x:v>94.8343842950062</x:v>
      </x:c>
      <x:c r="D20" s="12" t="n">
        <x:v>4.607583390060736</x:v>
      </x:c>
      <x:c r="E20" s="12" t="n">
        <x:v>2.1504528503300366</x:v>
      </x:c>
      <x:c r="F20" s="12" t="n">
        <x:f>B20*D20</x:f>
        <x:v>220.08069489676114</x:v>
      </x:c>
      <x:c r="G20" s="12" t="n">
        <x:f>C20*E20</x:f>
        <x:v>203.93687201649016</x:v>
      </x:c>
      <x:c r="H20" s="14" t="n">
        <x:f>IF(F20=0,0,G20/F20*100)</x:f>
        <x:v>92.66458928265199</x:v>
      </x:c>
      <x:c r="I20" s="16" t="n">
        <x:v>63.55724057869903</x:v>
      </x:c>
    </x:row>
    <x:row r="21">
      <x:c r="A21" s="10" t="n">
        <x:v>0.019</x:v>
      </x:c>
      <x:c r="B21" s="12" t="n">
        <x:v>47.87639320225002</x:v>
      </x:c>
      <x:c r="C21" s="12" t="n">
        <x:v>95.09757958200926</x:v>
      </x:c>
      <x:c r="D21" s="12" t="n">
        <x:v>4.666323612006047</x:v>
      </x:c>
      <x:c r="E21" s="12" t="n">
        <x:v>2.1760323208169083</x:v>
      </x:c>
      <x:c r="F21" s="12" t="n">
        <x:f>B21*D21</x:f>
        <x:v>223.40674405734507</x:v>
      </x:c>
      <x:c r="G21" s="12" t="n">
        <x:f>C21*E21</x:f>
        <x:v>206.93540680191023</x:v>
      </x:c>
      <x:c r="H21" s="14" t="n">
        <x:f>IF(F21=0,0,G21/F21*100)</x:f>
        <x:v>92.62719783821437</x:v>
      </x:c>
      <x:c r="I21" s="16" t="n">
        <x:v>63.994664728832376</x:v>
      </x:c>
    </x:row>
    <x:row r="22">
      <x:c r="A22" s="10" t="n">
        <x:v>0.02</x:v>
      </x:c>
      <x:c r="B22" s="12" t="n">
        <x:v>48</x:v>
      </x:c>
      <x:c r="C22" s="12" t="n">
        <x:v>95.40016658335317</x:v>
      </x:c>
      <x:c r="D22" s="12" t="n">
        <x:v>4.738149010186369</x:v>
      </x:c>
      <x:c r="E22" s="12" t="n">
        <x:v>2.2088522631053458</x:v>
      </x:c>
      <x:c r="F22" s="12" t="n">
        <x:f>B22*D22</x:f>
        <x:v>227.4311524889457</x:v>
      </x:c>
      <x:c r="G22" s="12" t="n">
        <x:f>C22*E22</x:f>
        <x:v>210.72487385826662</x:v>
      </x:c>
      <x:c r="H22" s="14" t="n">
        <x:f>IF(F22=0,0,G22/F22*100)</x:f>
        <x:v>92.65435783627262</x:v>
      </x:c>
      <x:c r="I22" s="16" t="n">
        <x:v>64.42658477444273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14.75" hidden="0" customWidth="1"/>
    <x:col min="3" max="3" width="14.630000114440918" hidden="0" customWidth="1"/>
    <x:col min="4" max="4" width="13" hidden="0" customWidth="1"/>
    <x:col min="5" max="5" width="14.380000114440918" hidden="0" customWidth="1"/>
    <x:col min="6" max="6" width="14.380000114440918" hidden="0" customWidth="1"/>
    <x:col min="7" max="7" width="12.130000114440918" hidden="0" customWidth="1"/>
  </x:cols>
  <x:sheetData>
    <x:row r="1">
      <x:c r="A1" s="5" t="str">
        <x:v>Load_percent</x:v>
      </x:c>
      <x:c r="B1" s="5" t="str">
        <x:v>Output_Current_A</x:v>
      </x:c>
      <x:c r="C1" s="5" t="str">
        <x:v>Output_Voltage_V</x:v>
      </x:c>
      <x:c r="D1" s="5" t="str">
        <x:v>Input_Power_W</x:v>
      </x:c>
      <x:c r="E1" s="5" t="str">
        <x:v>Output_Power_W</x:v>
      </x:c>
      <x:c r="F1" s="5" t="str">
        <x:v>Efficiency_percent</x:v>
      </x:c>
      <x:c r="G1" s="5" t="str">
        <x:v>Temperature_C</x:v>
      </x:c>
    </x:row>
    <x:row r="2">
      <x:c r="A2" t="n">
        <x:v>10</x:v>
      </x:c>
      <x:c r="B2" s="12" t="n">
        <x:v>0.495</x:v>
      </x:c>
      <x:c r="C2" s="12" t="n">
        <x:v>95.82</x:v>
      </x:c>
      <x:c r="D2" s="12" t="n">
        <x:v>52.49329638482355</x:v>
      </x:c>
      <x:c r="E2" s="12" t="n">
        <x:v>47.430899999999994</x:v>
      </x:c>
      <x:c r="F2" s="14" t="n">
        <x:v>90.35610881109163</x:v>
      </x:c>
      <x:c r="G2" s="16" t="n">
        <x:v>37.13689703572333</x:v>
      </x:c>
    </x:row>
    <x:row r="3">
      <x:c r="A3" t="n">
        <x:v>20</x:v>
      </x:c>
      <x:c r="B3" s="12" t="n">
        <x:v>0.74</x:v>
      </x:c>
      <x:c r="C3" s="12" t="n">
        <x:v>95.64</x:v>
      </x:c>
      <x:c r="D3" s="12" t="n">
        <x:v>77.17229767539467</x:v>
      </x:c>
      <x:c r="E3" s="12" t="n">
        <x:v>70.7736</x:v>
      </x:c>
      <x:c r="F3" s="14" t="n">
        <x:v>91.708556220123</x:v>
      </x:c>
      <x:c r="G3" s="16" t="n">
        <x:v>40.082426317820804</x:v>
      </x:c>
    </x:row>
    <x:row r="4">
      <x:c r="A4" t="n">
        <x:v>30</x:v>
      </x:c>
      <x:c r="B4" s="12" t="n">
        <x:v>0.985</x:v>
      </x:c>
      <x:c r="C4" s="12" t="n">
        <x:v>95.46</x:v>
      </x:c>
      <x:c r="D4" s="12" t="n">
        <x:v>101.45162103891488</x:v>
      </x:c>
      <x:c r="E4" s="12" t="n">
        <x:v>94.0281</x:v>
      </x:c>
      <x:c r="F4" s="14" t="n">
        <x:v>92.68269844986769</x:v>
      </x:c>
      <x:c r="G4" s="16" t="n">
        <x:v>43.43694397121205</x:v>
      </x:c>
    </x:row>
    <x:row r="5">
      <x:c r="A5" t="n">
        <x:v>40</x:v>
      </x:c>
      <x:c r="B5" s="12" t="n">
        <x:v>1.23</x:v>
      </x:c>
      <x:c r="C5" s="12" t="n">
        <x:v>95.28</x:v>
      </x:c>
      <x:c r="D5" s="12" t="n">
        <x:v>125.51423444288116</x:v>
      </x:c>
      <x:c r="E5" s="12" t="n">
        <x:v>117.1944</x:v>
      </x:c>
      <x:c r="F5" s="14" t="n">
        <x:v>93.37140167423215</x:v>
      </x:c>
      <x:c r="G5" s="16" t="n">
        <x:v>47.088115077259175</x:v>
      </x:c>
    </x:row>
    <x:row r="6">
      <x:c r="A6" t="n">
        <x:v>50</x:v>
      </x:c>
      <x:c r="B6" s="12" t="n">
        <x:v>1.475</x:v>
      </x:c>
      <x:c r="C6" s="12" t="n">
        <x:v>95.1</x:v>
      </x:c>
      <x:c r="D6" s="12" t="n">
        <x:v>149.47498285394627</x:v>
      </x:c>
      <x:c r="E6" s="12" t="n">
        <x:v>140.2725</x:v>
      </x:c>
      <x:c r="F6" s="14" t="n">
        <x:v>93.8434628469313</x:v>
      </x:c>
      <x:c r="G6" s="16" t="n">
        <x:v>50.97703188982057</x:v>
      </x:c>
    </x:row>
    <x:row r="7">
      <x:c r="A7" t="n">
        <x:v>60</x:v>
      </x:c>
      <x:c r="B7" s="12" t="n">
        <x:v>1.72</x:v>
      </x:c>
      <x:c r="C7" s="12" t="n">
        <x:v>94.92</x:v>
      </x:c>
      <x:c r="D7" s="12" t="n">
        <x:v>173.40697139698892</x:v>
      </x:c>
      <x:c r="E7" s="12" t="n">
        <x:v>163.2624</x:v>
      </x:c>
      <x:c r="F7" s="14" t="n">
        <x:v>94.14984800480458</x:v>
      </x:c>
      <x:c r="G7" s="16" t="n">
        <x:v>55.06654759888937</x:v>
      </x:c>
    </x:row>
    <x:row r="8">
      <x:c r="A8" t="n">
        <x:v>70</x:v>
      </x:c>
      <x:c r="B8" s="12" t="n">
        <x:v>1.965</x:v>
      </x:c>
      <x:c r="C8" s="12" t="n">
        <x:v>94.74</x:v>
      </x:c>
      <x:c r="D8" s="12" t="n">
        <x:v>197.35760416469842</x:v>
      </x:c>
      <x:c r="E8" s="12" t="n">
        <x:v>186.1641</x:v>
      </x:c>
      <x:c r="F8" s="14" t="n">
        <x:v>94.32831371657853</x:v>
      </x:c>
      <x:c r="G8" s="16" t="n">
        <x:v>59.330786431483276</x:v>
      </x:c>
    </x:row>
    <x:row r="9">
      <x:c r="A9" t="n">
        <x:v>80</x:v>
      </x:c>
      <x:c r="B9" s="12" t="n">
        <x:v>2.21</x:v>
      </x:c>
      <x:c r="C9" s="12" t="n">
        <x:v>94.56</x:v>
      </x:c>
      <x:c r="D9" s="12" t="n">
        <x:v>221.3585588776797</x:v>
      </x:c>
      <x:c r="E9" s="12" t="n">
        <x:v>208.9776</x:v>
      </x:c>
      <x:c r="F9" s="14" t="n">
        <x:v>94.40683073631622</x:v>
      </x:c>
      <x:c r="G9" s="16" t="n">
        <x:v>63.750544913696544</x:v>
      </x:c>
    </x:row>
    <x:row r="10">
      <x:c r="A10" t="n">
        <x:v>90</x:v>
      </x:c>
      <x:c r="B10" s="12" t="n">
        <x:v>2.455</x:v>
      </x:c>
      <x:c r="C10" s="12" t="n">
        <x:v>94.38</x:v>
      </x:c>
      <x:c r="D10" s="12" t="n">
        <x:v>245.43207500043135</x:v>
      </x:c>
      <x:c r="E10" s="12" t="n">
        <x:v>231.7029</x:v>
      </x:c>
      <x:c r="F10" s="14" t="n">
        <x:v>94.4061203082738</x:v>
      </x:c>
      <x:c r="G10" s="16" t="n">
        <x:v>68.31092812774514</x:v>
      </x:c>
    </x:row>
    <x:row r="11">
      <x:c r="A11" t="n">
        <x:v>100</x:v>
      </x:c>
      <x:c r="B11" s="12" t="n">
        <x:v>2.7</x:v>
      </x:c>
      <x:c r="C11" s="12" t="n">
        <x:v>94.2</x:v>
      </x:c>
      <x:c r="D11" s="12" t="n">
        <x:v>269.59494044845314</x:v>
      </x:c>
      <x:c r="E11" s="12" t="n">
        <x:v>254.34000000000003</x:v>
      </x:c>
      <x:c r="F11" s="14" t="n">
        <x:v>94.34153310775137</x:v>
      </x:c>
      <x:c r="G11" s="16" t="n">
        <x:v>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4.130000114440918" hidden="0" customWidth="1"/>
    <x:col min="3" max="3" width="11.130000114440918" hidden="0" customWidth="1"/>
    <x:col min="4" max="4" width="11" hidden="0" customWidth="1"/>
    <x:col min="5" max="5" width="11" hidden="0" customWidth="1"/>
  </x:cols>
  <x:sheetData>
    <x:row r="1">
      <x:c r="A1" s="5" t="str">
        <x:v>Frequency_Hz</x:v>
      </x:c>
      <x:c r="B1" s="5" t="str">
        <x:v>Unshielded_dBuV</x:v>
      </x:c>
      <x:c r="C1" s="5" t="str">
        <x:v>Case_A_dBuV</x:v>
      </x:c>
      <x:c r="D1" s="5" t="str">
        <x:v>Case_B_dBuV</x:v>
      </x:c>
      <x:c r="E1" s="5" t="str">
        <x:v>Case_C_dBuV</x:v>
      </x:c>
    </x:row>
    <x:row r="2">
      <x:c r="A2" s="18" t="n">
        <x:v>10000</x:v>
      </x:c>
      <x:c r="B2" s="14" t="n">
        <x:v>98.00000000000071</x:v>
      </x:c>
      <x:c r="C2" s="14" t="n">
        <x:v>93.00000000000071</x:v>
      </x:c>
      <x:c r="D2" s="14" t="n">
        <x:v>90.00000000000071</x:v>
      </x:c>
      <x:c r="E2" s="14" t="n">
        <x:v>87.00000000000071</x:v>
      </x:c>
    </x:row>
    <x:row r="3">
      <x:c r="A3" s="18" t="n">
        <x:v>20000</x:v>
      </x:c>
      <x:c r="B3" s="14" t="n">
        <x:v>94.98970513143112</x:v>
      </x:c>
      <x:c r="C3" s="14" t="n">
        <x:v>89.38764514010316</x:v>
      </x:c>
      <x:c r="D3" s="14" t="n">
        <x:v>86.23713014227117</x:v>
      </x:c>
      <x:c r="E3" s="14" t="n">
        <x:v>83.44785113923595</x:v>
      </x:c>
    </x:row>
    <x:row r="4">
      <x:c r="A4" s="18" t="n">
        <x:v>50000</x:v>
      </x:c>
      <x:c r="B4" s="14" t="n">
        <x:v>92.10829655251806</x:v>
      </x:c>
      <x:c r="C4" s="14" t="n">
        <x:v>85.71035654384602</x:v>
      </x:c>
      <x:c r="D4" s="14" t="n">
        <x:v>82.36087154167801</x:v>
      </x:c>
      <x:c r="E4" s="14" t="n">
        <x:v>79.85015054471322</x:v>
      </x:c>
    </x:row>
    <x:row r="5">
      <x:c r="A5" s="18" t="n">
        <x:v>100000</x:v>
      </x:c>
      <x:c r="B5" s="14" t="n">
        <x:v>106.00000001276894</x:v>
      </x:c>
      <x:c r="C5" s="14" t="n">
        <x:v>99.00000001276894</x:v>
      </x:c>
      <x:c r="D5" s="14" t="n">
        <x:v>95.50000001276894</x:v>
      </x:c>
      <x:c r="E5" s="14" t="n">
        <x:v>93.20000001276894</x:v>
      </x:c>
    </x:row>
    <x:row r="6">
      <x:c r="A6" s="18" t="n">
        <x:v>200000</x:v>
      </x:c>
      <x:c r="B6" s="14" t="n">
        <x:v>86.08819246352815</x:v>
      </x:c>
      <x:c r="C6" s="14" t="n">
        <x:v>78.48613247220018</x:v>
      </x:c>
      <x:c r="D6" s="14" t="n">
        <x:v>74.83561747436819</x:v>
      </x:c>
      <x:c r="E6" s="14" t="n">
        <x:v>72.74633847133298</x:v>
      </x:c>
    </x:row>
    <x:row r="7">
      <x:c r="A7" s="18" t="n">
        <x:v>500000</x:v>
      </x:c>
      <x:c r="B7" s="14" t="n">
        <x:v>82.85555003923723</x:v>
      </x:c>
      <x:c r="C7" s="14" t="n">
        <x:v>74.45761003056519</x:v>
      </x:c>
      <x:c r="D7" s="14" t="n">
        <x:v>70.60812502839718</x:v>
      </x:c>
      <x:c r="E7" s="14" t="n">
        <x:v>68.7974040314324</x:v>
      </x:c>
    </x:row>
    <x:row r="8">
      <x:c r="A8" s="18" t="n">
        <x:v>1000000</x:v>
      </x:c>
      <x:c r="B8" s="14" t="n">
        <x:v>90.0000009002821</x:v>
      </x:c>
      <x:c r="C8" s="14" t="n">
        <x:v>81.0000009002821</x:v>
      </x:c>
      <x:c r="D8" s="14" t="n">
        <x:v>77.0000009002821</x:v>
      </x:c>
      <x:c r="E8" s="14" t="n">
        <x:v>75.40000090028211</x:v>
      </x:c>
    </x:row>
    <x:row r="9">
      <x:c r="A9" s="18" t="n">
        <x:v>2000000</x:v>
      </x:c>
      <x:c r="B9" s="14" t="n">
        <x:v>76.83816784174779</x:v>
      </x:c>
      <x:c r="C9" s="14" t="n">
        <x:v>67.23610785041983</x:v>
      </x:c>
      <x:c r="D9" s="14" t="n">
        <x:v>63.08559285258784</x:v>
      </x:c>
      <x:c r="E9" s="14" t="n">
        <x:v>61.696313849552624</x:v>
      </x:c>
    </x:row>
    <x:row r="10">
      <x:c r="A10" s="18" t="n">
        <x:v>5000000</x:v>
      </x:c>
      <x:c r="B10" s="14" t="n">
        <x:v>72.8875364940007</x:v>
      </x:c>
      <x:c r="C10" s="14" t="n">
        <x:v>62.48959648532866</x:v>
      </x:c>
      <x:c r="D10" s="14" t="n">
        <x:v>58.14011148316065</x:v>
      </x:c>
      <x:c r="E10" s="14" t="n">
        <x:v>57.029390486195865</x:v>
      </x:c>
    </x:row>
    <x:row r="11">
      <x:c r="A11" s="18" t="n">
        <x:v>10000000</x:v>
      </x:c>
      <x:c r="B11" s="14" t="n">
        <x:v>76.00000001276894</x:v>
      </x:c>
      <x:c r="C11" s="14" t="n">
        <x:v>65.00000001276894</x:v>
      </x:c>
      <x:c r="D11" s="14" t="n">
        <x:v>60.500000012768936</x:v>
      </x:c>
      <x:c r="E11" s="14" t="n">
        <x:v>59.60000001276894</x:v>
      </x:c>
    </x:row>
    <x:row r="12">
      <x:c r="A12" s="18" t="n">
        <x:v>15000000</x:v>
      </x:c>
      <x:c r="B12" s="14" t="n">
        <x:v>71.11014675126555</x:v>
      </x:c>
      <x:c r="C12" s="14" t="n">
        <x:v>59.75796423315418</x:v>
      </x:c>
      <x:c r="D12" s="14" t="n">
        <x:v>55.16991860362634</x:v>
      </x:c>
      <x:c r="E12" s="14" t="n">
        <x:v>54.39318248496532</x:v>
      </x:c>
    </x:row>
    <x:row r="13">
      <x:c r="A13" s="18" t="n">
        <x:v>20000000</x:v>
      </x:c>
      <x:c r="B13" s="14" t="n">
        <x:v>66.86644075643136</x:v>
      </x:c>
      <x:c r="C13" s="14" t="n">
        <x:v>55.2643807651034</x:v>
      </x:c>
      <x:c r="D13" s="14" t="n">
        <x:v>50.613865767271406</x:v>
      </x:c>
      <x:c r="E13" s="14" t="n">
        <x:v>49.924586764236196</x:v>
      </x:c>
    </x:row>
    <x:row r="14">
      <x:c r="A14" s="18" t="n">
        <x:v>25000000</x:v>
      </x:c>
      <x:c r="B14" s="14" t="n">
        <x:v>64.65551852022065</x:v>
      </x:c>
      <x:c r="C14" s="14" t="n">
        <x:v>52.85963850287658</x:v>
      </x:c>
      <x:c r="D14" s="14" t="n">
        <x:v>48.16066849854056</x:v>
      </x:c>
      <x:c r="E14" s="14" t="n">
        <x:v>47.53922650461099</x:v>
      </x:c>
    </x:row>
    <x:row r="15">
      <x:c r="A15" s="18" t="n">
        <x:v>30000000</x:v>
      </x:c>
      <x:c r="B15" s="14" t="n">
        <x:v>63.43832055935521</x:v>
      </x:c>
      <x:c r="C15" s="14" t="n">
        <x:v>51.48407804991589</x:v>
      </x:c>
      <x:c r="D15" s="14" t="n">
        <x:v>46.745517422556055</x:v>
      </x:c>
      <x:c r="E15" s="14" t="n">
        <x:v>46.17950230085982</x:v>
      </x:c>
    </x:row>
  </x:sheetData>
  <x:pageMargins left="0.7" right="0.7" top="0.75" bottom="0.75" header="0.3" footer="0.3"/>
</x:worksheet>
</file>